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ScrumbagsRepos\AF-Testing\Tom\"/>
    </mc:Choice>
  </mc:AlternateContent>
  <xr:revisionPtr revIDLastSave="0" documentId="13_ncr:1_{AC41D0D0-40CE-48FA-96BB-7474F188D1B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RegisterBank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3" i="1" l="1"/>
  <c r="T2" i="1"/>
  <c r="O31" i="1"/>
  <c r="O30" i="1"/>
  <c r="O25" i="1"/>
  <c r="O26" i="1"/>
  <c r="O27" i="1"/>
  <c r="O24" i="1"/>
  <c r="O3" i="1"/>
  <c r="O2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16" i="1"/>
  <c r="G13" i="1"/>
  <c r="G12" i="1"/>
  <c r="G3" i="1"/>
  <c r="G2" i="1"/>
  <c r="H2" i="1"/>
  <c r="J26" i="1"/>
  <c r="I21" i="1"/>
  <c r="H3" i="1"/>
  <c r="H23" i="1"/>
  <c r="I23" i="1"/>
  <c r="J23" i="1"/>
  <c r="H24" i="1"/>
  <c r="I24" i="1"/>
  <c r="J24" i="1"/>
  <c r="H25" i="1"/>
  <c r="I25" i="1"/>
  <c r="J25" i="1"/>
  <c r="H26" i="1"/>
  <c r="I26" i="1"/>
  <c r="H27" i="1"/>
  <c r="I27" i="1"/>
  <c r="J27" i="1"/>
  <c r="H28" i="1"/>
  <c r="I28" i="1"/>
  <c r="J28" i="1"/>
  <c r="H29" i="1"/>
  <c r="I29" i="1"/>
  <c r="J29" i="1"/>
  <c r="H30" i="1"/>
  <c r="I30" i="1"/>
  <c r="J30" i="1"/>
  <c r="H31" i="1"/>
  <c r="I31" i="1"/>
  <c r="J31" i="1"/>
  <c r="J22" i="1"/>
  <c r="H22" i="1"/>
  <c r="I22" i="1"/>
  <c r="J18" i="1"/>
  <c r="J19" i="1"/>
  <c r="I20" i="1"/>
  <c r="H21" i="1"/>
  <c r="H20" i="1"/>
  <c r="H19" i="1"/>
  <c r="H18" i="1"/>
  <c r="H15" i="1"/>
  <c r="H14" i="1"/>
  <c r="H13" i="1"/>
  <c r="H12" i="1"/>
  <c r="J2" i="1"/>
  <c r="J3" i="1"/>
  <c r="I3" i="1"/>
  <c r="I2" i="1"/>
  <c r="Q3" i="1" a="1"/>
  <c r="Q2" i="1" a="1"/>
  <c r="U3" i="1" a="1"/>
  <c r="U2" i="1" a="1"/>
  <c r="R3" i="1" a="1"/>
  <c r="R2" i="1" a="1"/>
  <c r="S3" i="1" a="1"/>
  <c r="S2" i="1" a="1"/>
  <c r="N28" i="1" a="1"/>
  <c r="M27" i="1" a="1"/>
  <c r="M28" i="1" a="1"/>
  <c r="M29" i="1" a="1"/>
  <c r="M31" i="1" a="1"/>
  <c r="M30" i="1" a="1"/>
  <c r="M26" i="1" a="1"/>
  <c r="M3" i="1" a="1"/>
  <c r="M2" i="1" a="1"/>
  <c r="F15" i="1" a="1"/>
  <c r="F21" i="1" a="1"/>
  <c r="F27" i="1" a="1"/>
  <c r="F24" i="1" a="1"/>
  <c r="F31" i="1" a="1"/>
  <c r="F18" i="1" a="1"/>
  <c r="F16" i="1" a="1"/>
  <c r="F22" i="1" a="1"/>
  <c r="F28" i="1" a="1"/>
  <c r="F25" i="1" a="1"/>
  <c r="F26" i="1" a="1"/>
  <c r="F17" i="1" a="1"/>
  <c r="F23" i="1" a="1"/>
  <c r="F29" i="1" a="1"/>
  <c r="F19" i="1" a="1"/>
  <c r="F20" i="1" a="1"/>
  <c r="F30" i="1" a="1"/>
  <c r="F14" i="1" a="1"/>
  <c r="F3" i="1" a="1"/>
  <c r="F2" i="1" a="1"/>
  <c r="D9" i="1" a="1"/>
  <c r="D8" i="1" a="1"/>
  <c r="C2" i="1" a="1"/>
  <c r="E2" i="1" a="1"/>
  <c r="E3" i="1" a="1"/>
  <c r="E12" i="1" a="1"/>
  <c r="E18" i="1" a="1"/>
  <c r="E26" i="1" a="1"/>
  <c r="E30" i="1" a="1"/>
  <c r="P31" i="1" a="1"/>
  <c r="P30" i="1" a="1"/>
  <c r="P25" i="1" a="1"/>
  <c r="P28" i="1" a="1"/>
  <c r="P26" i="1" a="1"/>
  <c r="P27" i="1" a="1"/>
  <c r="P29" i="1" a="1"/>
  <c r="P24" i="1" a="1"/>
  <c r="P3" i="1" a="1"/>
  <c r="P2" i="1" a="1"/>
  <c r="N29" i="1" a="1"/>
  <c r="N30" i="1" a="1"/>
  <c r="N31" i="1" a="1"/>
  <c r="N25" i="1" a="1"/>
  <c r="N24" i="1" a="1"/>
  <c r="N3" i="1" a="1"/>
  <c r="N2" i="1" a="1"/>
  <c r="C7" i="1" a="1"/>
  <c r="C6" i="1" a="1"/>
  <c r="B6" i="1" a="1"/>
  <c r="B5" i="1" a="1"/>
  <c r="B4" i="1" a="1"/>
  <c r="B3" i="1" a="1"/>
  <c r="B2" i="1" a="1"/>
  <c r="E13" i="1" a="1"/>
  <c r="E19" i="1" a="1"/>
  <c r="E25" i="1" a="1"/>
  <c r="E31" i="1" a="1"/>
  <c r="E22" i="1" a="1"/>
  <c r="E17" i="1" a="1"/>
  <c r="E24" i="1" a="1"/>
  <c r="E14" i="1" a="1"/>
  <c r="E20" i="1" a="1"/>
  <c r="E28" i="1" a="1"/>
  <c r="E23" i="1" a="1"/>
  <c r="E16" i="1" a="1"/>
  <c r="E15" i="1" a="1"/>
  <c r="E21" i="1" a="1"/>
  <c r="E27" i="1" a="1"/>
  <c r="E29" i="1" a="1"/>
  <c r="C9" i="1" a="1"/>
  <c r="C15" i="1" a="1"/>
  <c r="C21" i="1" a="1"/>
  <c r="C27" i="1" a="1"/>
  <c r="C29" i="1" a="1"/>
  <c r="C30" i="1" a="1"/>
  <c r="C31" i="1" a="1"/>
  <c r="C23" i="1" a="1"/>
  <c r="C14" i="1" a="1"/>
  <c r="C10" i="1" a="1"/>
  <c r="C16" i="1" a="1"/>
  <c r="C22" i="1" a="1"/>
  <c r="C28" i="1" a="1"/>
  <c r="C24" i="1" a="1"/>
  <c r="C26" i="1" a="1"/>
  <c r="C18" i="1" a="1"/>
  <c r="C11" i="1" a="1"/>
  <c r="C17" i="1" a="1"/>
  <c r="C12" i="1" a="1"/>
  <c r="C19" i="1" a="1"/>
  <c r="C25" i="1" a="1"/>
  <c r="C20" i="1" a="1"/>
  <c r="C13" i="1" a="1"/>
  <c r="C8" i="1" a="1"/>
  <c r="C4" i="1" a="1"/>
  <c r="C5" i="1" a="1"/>
  <c r="C3" i="1" a="1"/>
  <c r="B7" i="1" a="1"/>
  <c r="B13" i="1" a="1"/>
  <c r="B19" i="1" a="1"/>
  <c r="B25" i="1" a="1"/>
  <c r="B31" i="1" a="1"/>
  <c r="B24" i="1" a="1"/>
  <c r="B11" i="1" a="1"/>
  <c r="B18" i="1" a="1"/>
  <c r="B30" i="1" a="1"/>
  <c r="B8" i="1" a="1"/>
  <c r="B14" i="1" a="1"/>
  <c r="B20" i="1" a="1"/>
  <c r="B26" i="1" a="1"/>
  <c r="B29" i="1" a="1"/>
  <c r="B9" i="1" a="1"/>
  <c r="B15" i="1" a="1"/>
  <c r="B21" i="1" a="1"/>
  <c r="B27" i="1" a="1"/>
  <c r="B12" i="1" a="1"/>
  <c r="B17" i="1" a="1"/>
  <c r="B10" i="1" a="1"/>
  <c r="B16" i="1" a="1"/>
  <c r="B22" i="1" a="1"/>
  <c r="B28" i="1" a="1"/>
  <c r="B23" i="1" a="1"/>
  <c r="Q3" i="1" l="1"/>
  <c r="Q2" i="1"/>
  <c r="U3" i="1"/>
  <c r="U2" i="1"/>
  <c r="R3" i="1"/>
  <c r="R2" i="1"/>
  <c r="S3" i="1"/>
  <c r="S2" i="1"/>
  <c r="N28" i="1"/>
  <c r="M30" i="1"/>
  <c r="M31" i="1"/>
  <c r="M29" i="1"/>
  <c r="M28" i="1"/>
  <c r="M27" i="1"/>
  <c r="M26" i="1"/>
  <c r="M3" i="1"/>
  <c r="M2" i="1"/>
  <c r="F30" i="1"/>
  <c r="F20" i="1"/>
  <c r="F19" i="1"/>
  <c r="F29" i="1"/>
  <c r="F23" i="1"/>
  <c r="F17" i="1"/>
  <c r="F26" i="1"/>
  <c r="F25" i="1"/>
  <c r="F28" i="1"/>
  <c r="F22" i="1"/>
  <c r="F16" i="1"/>
  <c r="F18" i="1"/>
  <c r="F31" i="1"/>
  <c r="F24" i="1"/>
  <c r="F27" i="1"/>
  <c r="F21" i="1"/>
  <c r="F15" i="1"/>
  <c r="F14" i="1"/>
  <c r="F3" i="1"/>
  <c r="F2" i="1"/>
  <c r="D9" i="1"/>
  <c r="D8" i="1"/>
  <c r="C2" i="1"/>
  <c r="E2" i="1"/>
  <c r="E3" i="1"/>
  <c r="E12" i="1"/>
  <c r="E18" i="1"/>
  <c r="E26" i="1"/>
  <c r="E30" i="1"/>
  <c r="P31" i="1"/>
  <c r="P30" i="1"/>
  <c r="P29" i="1"/>
  <c r="P27" i="1"/>
  <c r="P26" i="1"/>
  <c r="P28" i="1"/>
  <c r="P25" i="1"/>
  <c r="P24" i="1"/>
  <c r="P3" i="1"/>
  <c r="P2" i="1"/>
  <c r="N31" i="1"/>
  <c r="N30" i="1"/>
  <c r="N29" i="1"/>
  <c r="N25" i="1"/>
  <c r="N24" i="1"/>
  <c r="N3" i="1"/>
  <c r="N2" i="1"/>
  <c r="C7" i="1"/>
  <c r="C6" i="1"/>
  <c r="B6" i="1"/>
  <c r="B5" i="1"/>
  <c r="B4" i="1"/>
  <c r="B3" i="1"/>
  <c r="B2" i="1"/>
  <c r="E29" i="1"/>
  <c r="E27" i="1"/>
  <c r="E21" i="1"/>
  <c r="E15" i="1"/>
  <c r="E16" i="1"/>
  <c r="E23" i="1"/>
  <c r="E28" i="1"/>
  <c r="E20" i="1"/>
  <c r="E14" i="1"/>
  <c r="E24" i="1"/>
  <c r="E17" i="1"/>
  <c r="E22" i="1"/>
  <c r="E31" i="1"/>
  <c r="E25" i="1"/>
  <c r="E19" i="1"/>
  <c r="E13" i="1"/>
  <c r="C13" i="1"/>
  <c r="C20" i="1"/>
  <c r="C25" i="1"/>
  <c r="C19" i="1"/>
  <c r="C12" i="1"/>
  <c r="C17" i="1"/>
  <c r="C11" i="1"/>
  <c r="C18" i="1"/>
  <c r="C26" i="1"/>
  <c r="C24" i="1"/>
  <c r="C28" i="1"/>
  <c r="C22" i="1"/>
  <c r="C16" i="1"/>
  <c r="C10" i="1"/>
  <c r="C14" i="1"/>
  <c r="C23" i="1"/>
  <c r="C31" i="1"/>
  <c r="C30" i="1"/>
  <c r="C29" i="1"/>
  <c r="C27" i="1"/>
  <c r="C21" i="1"/>
  <c r="C15" i="1"/>
  <c r="C9" i="1"/>
  <c r="C8" i="1"/>
  <c r="C3" i="1"/>
  <c r="C5" i="1"/>
  <c r="C4" i="1"/>
  <c r="B23" i="1"/>
  <c r="B28" i="1"/>
  <c r="B22" i="1"/>
  <c r="B16" i="1"/>
  <c r="B10" i="1"/>
  <c r="B17" i="1"/>
  <c r="B12" i="1"/>
  <c r="B27" i="1"/>
  <c r="B21" i="1"/>
  <c r="B15" i="1"/>
  <c r="B9" i="1"/>
  <c r="B29" i="1"/>
  <c r="B26" i="1"/>
  <c r="B20" i="1"/>
  <c r="B14" i="1"/>
  <c r="B8" i="1"/>
  <c r="B30" i="1"/>
  <c r="B18" i="1"/>
  <c r="B11" i="1"/>
  <c r="B24" i="1"/>
  <c r="B31" i="1"/>
  <c r="B25" i="1"/>
  <c r="B19" i="1"/>
  <c r="B13" i="1"/>
  <c r="B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<sst xmlns="http://schemas.openxmlformats.org/spreadsheetml/2006/main" count="117" uniqueCount="66">
  <si>
    <t>DT_firstname</t>
  </si>
  <si>
    <t>DT_lastname</t>
  </si>
  <si>
    <t>DT_email</t>
  </si>
  <si>
    <t>DT_account_type</t>
  </si>
  <si>
    <t>DT_DOB</t>
  </si>
  <si>
    <t>DT_gender</t>
  </si>
  <si>
    <t>DT_phone</t>
  </si>
  <si>
    <t>DT_SSN</t>
  </si>
  <si>
    <t>DT_drivers</t>
  </si>
  <si>
    <t>DT_income</t>
  </si>
  <si>
    <t>DT_pay_freq</t>
  </si>
  <si>
    <t>DT_address</t>
  </si>
  <si>
    <t>DT_city</t>
  </si>
  <si>
    <t>DT_state</t>
  </si>
  <si>
    <t>DT_zip</t>
  </si>
  <si>
    <t>DT_mailing_address</t>
  </si>
  <si>
    <t>DT_mailing_city</t>
  </si>
  <si>
    <t>DT_mailing_state</t>
  </si>
  <si>
    <t>123123</t>
  </si>
  <si>
    <t>2</t>
  </si>
  <si>
    <t>DT_mailing_zip</t>
  </si>
  <si>
    <t>DT_alternate_address</t>
  </si>
  <si>
    <t>thomas.a.hennessey@outlook.com</t>
  </si>
  <si>
    <t>TC</t>
  </si>
  <si>
    <t>TH_TC001</t>
  </si>
  <si>
    <t>TH_TC002</t>
  </si>
  <si>
    <t>TH_TC003</t>
  </si>
  <si>
    <t>TH_TC004</t>
  </si>
  <si>
    <t>TH_TC005</t>
  </si>
  <si>
    <t>TH_TC006</t>
  </si>
  <si>
    <t>TH_TC007</t>
  </si>
  <si>
    <t>TH_TC008</t>
  </si>
  <si>
    <t>TH_TC009</t>
  </si>
  <si>
    <t>TH_TC010</t>
  </si>
  <si>
    <t>TH_TC011</t>
  </si>
  <si>
    <t>TH_TC012</t>
  </si>
  <si>
    <t>TH_TC013</t>
  </si>
  <si>
    <t>TH_TC014</t>
  </si>
  <si>
    <t>TH_TC015</t>
  </si>
  <si>
    <t>TH_TC001_R</t>
  </si>
  <si>
    <t>TH_TC002_R</t>
  </si>
  <si>
    <t>TH_TC003_R</t>
  </si>
  <si>
    <t>TH_TC004_R</t>
  </si>
  <si>
    <t>TH_TC005_R</t>
  </si>
  <si>
    <t>TH_TC006_R</t>
  </si>
  <si>
    <t>TH_TC007_R</t>
  </si>
  <si>
    <t>TH_TC008_R</t>
  </si>
  <si>
    <t>TH_TC010_R</t>
  </si>
  <si>
    <t>TH_TC011_R</t>
  </si>
  <si>
    <t>TH_TC009_R</t>
  </si>
  <si>
    <t>TH_TC012_R</t>
  </si>
  <si>
    <t>TH_TC013_R</t>
  </si>
  <si>
    <t>TH_TC014_R</t>
  </si>
  <si>
    <t>TH_TC015_R</t>
  </si>
  <si>
    <t>&lt;</t>
  </si>
  <si>
    <t>NONE</t>
  </si>
  <si>
    <t>01012200</t>
  </si>
  <si>
    <t>0</t>
  </si>
  <si>
    <t>&lt;&lt;</t>
  </si>
  <si>
    <t>123124</t>
  </si>
  <si>
    <t>123125</t>
  </si>
  <si>
    <t>123126</t>
  </si>
  <si>
    <t>123127</t>
  </si>
  <si>
    <t>123128</t>
  </si>
  <si>
    <t>123129</t>
  </si>
  <si>
    <t>123130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</si>
</sst>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2" borderId="0" applyNumberFormat="0" applyBorder="0" applyAlignment="0" applyProtection="0"/>
    <xf numFmtId="0" fontId="4" fillId="0" borderId="0" applyNumberFormat="0" applyFill="0" applyBorder="0" applyAlignment="0" applyProtection="0"/>
  </cellStyleXfs>
  <cellXfs count="11">
    <xf numFmtId="0" fontId="0" fillId="0" borderId="0" xfId="0"/>
    <xf numFmtId="49" fontId="0" fillId="0" borderId="0" xfId="0" applyNumberFormat="1"/>
    <xf numFmtId="49" fontId="1" fillId="0" borderId="0" xfId="0" applyNumberFormat="1" applyFont="1"/>
    <xf numFmtId="0" fontId="1" fillId="0" borderId="0" xfId="0" applyNumberFormat="1" applyFont="1"/>
    <xf numFmtId="0" fontId="0" fillId="0" borderId="0" xfId="0" applyNumberFormat="1"/>
    <xf numFmtId="0" fontId="1" fillId="0" borderId="0" xfId="0" applyFont="1"/>
    <xf numFmtId="0" fontId="0" fillId="0" borderId="0" xfId="0" applyNumberFormat="1" applyFill="1"/>
    <xf numFmtId="0" fontId="4" fillId="0" borderId="0" xfId="2" applyNumberFormat="1"/>
    <xf numFmtId="0" fontId="3" fillId="2" borderId="0" xfId="1" applyNumberFormat="1"/>
    <xf numFmtId="49" fontId="3" fillId="2" borderId="0" xfId="1" applyNumberFormat="1"/>
    <xf numFmtId="0" fontId="3" fillId="2" borderId="0" xfId="1"/>
  </cellXfs>
  <cellStyles count="3">
    <cellStyle name="Bad" xfId="1" builtinId="27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33"/>
  <sheetViews>
    <sheetView tabSelected="1" workbookViewId="0">
      <selection activeCell="D20" sqref="D20"/>
    </sheetView>
  </sheetViews>
  <sheetFormatPr defaultRowHeight="15" x14ac:dyDescent="0.25"/>
  <cols>
    <col min="1" max="1" width="17.7109375" customWidth="1"/>
    <col min="2" max="2" width="12.85546875" style="4" bestFit="1" customWidth="1"/>
    <col min="3" max="3" width="12.42578125" style="4" bestFit="1" customWidth="1"/>
    <col min="4" max="4" width="33" style="4" bestFit="1" customWidth="1"/>
    <col min="5" max="5" width="26" style="4" customWidth="1"/>
    <col min="6" max="6" width="21.28515625" style="4" customWidth="1"/>
    <col min="7" max="7" width="10.5703125" style="4" bestFit="1" customWidth="1"/>
    <col min="8" max="8" width="37" style="4" customWidth="1"/>
    <col min="9" max="9" width="43.7109375" style="4" customWidth="1"/>
    <col min="10" max="10" width="28.7109375" style="4" customWidth="1"/>
    <col min="11" max="11" width="10.85546875" style="1" bestFit="1" customWidth="1"/>
    <col min="12" max="12" width="12.140625" style="1" bestFit="1" customWidth="1"/>
    <col min="13" max="13" width="15" style="4" bestFit="1" customWidth="1"/>
    <col min="14" max="14" width="44.28515625" style="4" customWidth="1"/>
    <col min="15" max="15" width="8.7109375" style="4" bestFit="1" customWidth="1"/>
    <col min="16" max="16" width="11.140625" style="4" customWidth="1"/>
    <col min="17" max="17" width="20.5703125" style="4" bestFit="1" customWidth="1"/>
    <col min="18" max="18" width="19" style="1" bestFit="1" customWidth="1"/>
    <col min="19" max="19" width="16.42578125" style="1" bestFit="1" customWidth="1"/>
    <col min="20" max="20" width="14.5703125" style="1" bestFit="1" customWidth="1"/>
    <col min="21" max="21" width="14.5703125" bestFit="1" customWidth="1"/>
  </cols>
  <sheetData>
    <row r="1" spans="1:21" x14ac:dyDescent="0.25">
      <c r="A1" s="5" t="s">
        <v>23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2" t="s">
        <v>9</v>
      </c>
      <c r="L1" s="2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21</v>
      </c>
      <c r="R1" s="2" t="s">
        <v>15</v>
      </c>
      <c r="S1" s="2" t="s">
        <v>16</v>
      </c>
      <c r="T1" s="2" t="s">
        <v>17</v>
      </c>
      <c r="U1" s="2" t="s">
        <v>20</v>
      </c>
    </row>
    <row r="2" spans="1:21" x14ac:dyDescent="0.25">
      <c r="A2" t="s">
        <v>24</v>
      </c>
      <c r="B2" t="str" cm="1">
        <f t="array" ref="B2">genName("pos", 10)</f>
        <v>Endxusx</v>
      </c>
      <c r="C2" s="4" t="str" cm="1">
        <f t="array" ref="C2">GetRandomLastName()</f>
        <v>Flowers</v>
      </c>
      <c r="D2" s="6" t="s">
        <v>22</v>
      </c>
      <c r="E2" s="4" t="str" cm="1">
        <f t="array" ref="E2">genAccntType()</f>
        <v>SPENDING</v>
      </c>
      <c r="F2" s="4" t="str" cm="1">
        <f t="array" ref="F2">GetRandomDateOfBirth()</f>
        <v>08071940</v>
      </c>
      <c r="G2" s="4">
        <f ca="1">RANDBETWEEN(1, 4)</f>
        <v>4</v>
      </c>
      <c r="H2" s="4">
        <f ca="1">RANDBETWEEN(1111111111,9999999999)</f>
        <v>1289119634</v>
      </c>
      <c r="I2" s="4">
        <f ca="1">RANDBETWEEN(111111111,999999999)</f>
        <v>369014364</v>
      </c>
      <c r="J2" s="4">
        <f ca="1">RANDBETWEEN(1000000,99999999)</f>
        <v>37443005</v>
      </c>
      <c r="K2" s="1" t="s">
        <v>18</v>
      </c>
      <c r="L2" s="1" t="s">
        <v>19</v>
      </c>
      <c r="M2" s="4" t="str" cm="1">
        <f t="array" ref="M2">GetRandomAddress()</f>
        <v>929 2nd Ave</v>
      </c>
      <c r="N2" s="4" t="str" cm="1">
        <f t="array" ref="N2">genCity("pos")</f>
        <v>Mpzpnxubtoc</v>
      </c>
      <c r="O2" s="4">
        <f ca="1">RANDBETWEEN(1, 50)</f>
        <v>37</v>
      </c>
      <c r="P2" s="4" t="str" cm="1">
        <f t="array" ref="P2">GetRandomValidZip()</f>
        <v>29381</v>
      </c>
      <c r="Q2" s="4" t="str" cm="1">
        <f t="array" ref="Q2">genYesNo()</f>
        <v>YES</v>
      </c>
      <c r="R2" s="4" t="str" cm="1">
        <f t="array" ref="R2">GetRandomAddress()</f>
        <v>174 Elm St</v>
      </c>
      <c r="S2" s="4" t="str" cm="1">
        <f t="array" ref="S2">genCity("pos")</f>
        <v>Spsewnekrpoqybmhgvlsds</v>
      </c>
      <c r="T2" s="4">
        <f t="shared" ref="T2:T3" ca="1" si="0">RANDBETWEEN(1, 50)</f>
        <v>3</v>
      </c>
      <c r="U2" s="4" t="str" cm="1">
        <f t="array" ref="U2">GetRandomValidZip()</f>
        <v>64364</v>
      </c>
    </row>
    <row r="3" spans="1:21" x14ac:dyDescent="0.25">
      <c r="A3" t="s">
        <v>39</v>
      </c>
      <c r="B3" t="str" cm="1">
        <f t="array" ref="B3">genName("pos", 10)</f>
        <v>Zklevxeyym</v>
      </c>
      <c r="C3" s="4" t="str" cm="1">
        <f t="array" ref="C3">GetRandomLastName()</f>
        <v>Christopher</v>
      </c>
      <c r="D3" s="6" t="s">
        <v>22</v>
      </c>
      <c r="E3" s="4" t="str" cm="1">
        <f t="array" ref="E3">genAccntType()</f>
        <v>BOTH</v>
      </c>
      <c r="F3" s="4" t="str" cm="1">
        <f t="array" ref="F3">GetRandomDateOfBirth()</f>
        <v>09211956</v>
      </c>
      <c r="G3" s="4">
        <f ca="1">RANDBETWEEN(1, 4)</f>
        <v>4</v>
      </c>
      <c r="H3" s="4">
        <f ca="1">RANDBETWEEN(1111111111,9999999999)</f>
        <v>3391598638</v>
      </c>
      <c r="I3" s="4">
        <f ca="1">RANDBETWEEN(111111111,999999999)</f>
        <v>797520361</v>
      </c>
      <c r="J3" s="4">
        <f ca="1">RANDBETWEEN(1000000,99999999)</f>
        <v>69962757</v>
      </c>
      <c r="K3" s="1" t="s">
        <v>18</v>
      </c>
      <c r="L3" s="1" t="s">
        <v>19</v>
      </c>
      <c r="M3" s="4" t="str" cm="1">
        <f t="array" ref="M3">GetRandomAddress()</f>
        <v>463 Cedar Rd</v>
      </c>
      <c r="N3" s="4" t="str" cm="1">
        <f t="array" ref="N3">genCity("pos")</f>
        <v>Pootvcn</v>
      </c>
      <c r="O3" s="4">
        <f ca="1">RANDBETWEEN(1, 50)</f>
        <v>41</v>
      </c>
      <c r="P3" s="4" t="str" cm="1">
        <f t="array" ref="P3">GetRandomValidZip()</f>
        <v>10000</v>
      </c>
      <c r="Q3" s="4" t="str" cm="1">
        <f t="array" ref="Q3">genYesNo()</f>
        <v>NO</v>
      </c>
      <c r="R3" s="4" t="str" cm="1">
        <f t="array" ref="R3">GetRandomAddress()</f>
        <v>146 Elm St</v>
      </c>
      <c r="S3" s="4" t="str" cm="1">
        <f t="array" ref="S3">genCity("pos")</f>
        <v>Ythryokbbbyrvuommzzqggo</v>
      </c>
      <c r="T3" s="4">
        <f t="shared" ca="1" si="0"/>
        <v>5</v>
      </c>
      <c r="U3" s="4" t="str" cm="1">
        <f t="array" ref="U3">GetRandomValidZip()</f>
        <v>39846</v>
      </c>
    </row>
    <row r="4" spans="1:21" x14ac:dyDescent="0.25">
      <c r="A4" t="s">
        <v>25</v>
      </c>
      <c r="B4" s="10" t="str" cm="1">
        <f t="array" ref="B4">genName("neg", 10)</f>
        <v>Kvenuv"e</v>
      </c>
      <c r="C4" s="4" t="str" cm="1">
        <f t="array" ref="C4">GetRandomLastName()</f>
        <v>Todd</v>
      </c>
      <c r="D4" s="6" t="s">
        <v>22</v>
      </c>
    </row>
    <row r="5" spans="1:21" x14ac:dyDescent="0.25">
      <c r="A5" t="s">
        <v>40</v>
      </c>
      <c r="B5" s="10" t="str" cm="1">
        <f t="array" ref="B5">genName("neg", 10)</f>
        <v>;Tscfqsja</v>
      </c>
      <c r="C5" s="4" t="str" cm="1">
        <f t="array" ref="C5">GetRandomLastName()</f>
        <v>Christopher</v>
      </c>
      <c r="D5" s="6" t="s">
        <v>22</v>
      </c>
    </row>
    <row r="6" spans="1:21" x14ac:dyDescent="0.25">
      <c r="A6" t="s">
        <v>26</v>
      </c>
      <c r="B6" t="str" cm="1">
        <f t="array" ref="B6">genName("pos", 10)</f>
        <v>Hijw</v>
      </c>
      <c r="C6" s="10" t="str" cm="1">
        <f t="array" ref="C6">genName("neg", 10)</f>
        <v>W7rkqbvzg</v>
      </c>
      <c r="D6" s="6" t="s">
        <v>22</v>
      </c>
    </row>
    <row r="7" spans="1:21" x14ac:dyDescent="0.25">
      <c r="A7" t="s">
        <v>41</v>
      </c>
      <c r="B7" t="str" cm="1">
        <f t="array" ref="B7">GetRandomFirstName()</f>
        <v>Isabelle</v>
      </c>
      <c r="C7" s="10" t="str" cm="1">
        <f t="array" ref="C7">genName("neg", 10)</f>
        <v>Np%gndmtz</v>
      </c>
      <c r="D7" s="6" t="s">
        <v>22</v>
      </c>
    </row>
    <row r="8" spans="1:21" x14ac:dyDescent="0.25">
      <c r="A8" t="s">
        <v>27</v>
      </c>
      <c r="B8" t="str" cm="1">
        <f t="array" ref="B8">GetRandomFirstName()</f>
        <v>Barrett</v>
      </c>
      <c r="C8" s="4" t="str" cm="1">
        <f t="array" ref="C8">GetRandomLastName()</f>
        <v>Quincy</v>
      </c>
      <c r="D8" s="8" t="str" cm="1">
        <f t="array" ref="D8">GetRandomInvalidEmailAddress()</f>
        <v>8J5YbXxug2BE0mbwKgkOXGhCT3NqFymail.com</v>
      </c>
    </row>
    <row r="9" spans="1:21" x14ac:dyDescent="0.25">
      <c r="A9" t="s">
        <v>42</v>
      </c>
      <c r="B9" t="str" cm="1">
        <f t="array" ref="B9">GetRandomFirstName()</f>
        <v>Xavier</v>
      </c>
      <c r="C9" s="4" t="str" cm="1">
        <f t="array" ref="C9">GetRandomLastName()</f>
        <v>Veers</v>
      </c>
      <c r="D9" s="8" t="str" cm="1">
        <f t="array" ref="D9">GetRandomInvalidEmailAddress()</f>
        <v>gyGZ0iMWprotonmail.com</v>
      </c>
    </row>
    <row r="10" spans="1:21" x14ac:dyDescent="0.25">
      <c r="A10" t="s">
        <v>28</v>
      </c>
      <c r="B10" t="str" cm="1">
        <f t="array" ref="B10">GetRandomFirstName()</f>
        <v>Peter</v>
      </c>
      <c r="C10" s="4" t="str" cm="1">
        <f t="array" ref="C10">GetRandomLastName()</f>
        <v>Neilson</v>
      </c>
      <c r="D10" s="6" t="s">
        <v>22</v>
      </c>
      <c r="E10" s="8" t="s">
        <v>55</v>
      </c>
    </row>
    <row r="11" spans="1:21" x14ac:dyDescent="0.25">
      <c r="A11" t="s">
        <v>43</v>
      </c>
      <c r="B11" t="str" cm="1">
        <f t="array" ref="B11">GetRandomFirstName()</f>
        <v>Walter</v>
      </c>
      <c r="C11" s="4" t="str" cm="1">
        <f t="array" ref="C11">GetRandomLastName()</f>
        <v>Yoko</v>
      </c>
      <c r="D11" s="6" t="s">
        <v>22</v>
      </c>
      <c r="E11" s="8" t="s">
        <v>55</v>
      </c>
    </row>
    <row r="12" spans="1:21" x14ac:dyDescent="0.25">
      <c r="A12" t="s">
        <v>29</v>
      </c>
      <c r="B12" t="str" cm="1">
        <f t="array" ref="B12">GetRandomFirstName()</f>
        <v>Aaron</v>
      </c>
      <c r="C12" s="4" t="str" cm="1">
        <f t="array" ref="C12">GetRandomLastName()</f>
        <v>Aaronson</v>
      </c>
      <c r="D12" s="6" t="s">
        <v>22</v>
      </c>
      <c r="E12" s="4" t="str" cm="1">
        <f t="array" ref="E12">genAccntType()</f>
        <v>BOTH</v>
      </c>
      <c r="F12" s="8" t="s">
        <v>56</v>
      </c>
      <c r="G12" s="4">
        <f ca="1">RANDBETWEEN(1, 4)</f>
        <v>4</v>
      </c>
      <c r="H12" s="4">
        <f ca="1">RANDBETWEEN(1111111111,9999999999)</f>
        <v>9336601032</v>
      </c>
    </row>
    <row r="13" spans="1:21" x14ac:dyDescent="0.25">
      <c r="A13" t="s">
        <v>44</v>
      </c>
      <c r="B13" t="str" cm="1">
        <f t="array" ref="B13">GetRandomFirstName()</f>
        <v>Noelle</v>
      </c>
      <c r="C13" s="4" t="str" cm="1">
        <f t="array" ref="C13">GetRandomLastName()</f>
        <v>Quincy</v>
      </c>
      <c r="D13" s="6" t="s">
        <v>22</v>
      </c>
      <c r="E13" s="4" t="str" cm="1">
        <f t="array" ref="E13">genAccntType()</f>
        <v>BOTH</v>
      </c>
      <c r="F13" s="8" t="s">
        <v>56</v>
      </c>
      <c r="G13" s="4">
        <f ca="1">RANDBETWEEN(1, 4)</f>
        <v>4</v>
      </c>
      <c r="H13" s="4">
        <f ca="1">RANDBETWEEN(1111111111,9999999999)</f>
        <v>4289396484</v>
      </c>
    </row>
    <row r="14" spans="1:21" x14ac:dyDescent="0.25">
      <c r="A14" t="s">
        <v>30</v>
      </c>
      <c r="B14" t="str" cm="1">
        <f t="array" ref="B14">GetRandomFirstName()</f>
        <v>Stacy</v>
      </c>
      <c r="C14" s="4" t="str" cm="1">
        <f t="array" ref="C14">GetRandomLastName()</f>
        <v>Zachary</v>
      </c>
      <c r="D14" s="6" t="s">
        <v>22</v>
      </c>
      <c r="E14" s="4" t="str" cm="1">
        <f t="array" ref="E14">genAccntType()</f>
        <v>BOTH</v>
      </c>
      <c r="F14" s="4" t="str" cm="1">
        <f t="array" ref="F14">GetRandomDateOfBirth()</f>
        <v>05141955</v>
      </c>
      <c r="G14" s="8" t="s">
        <v>57</v>
      </c>
      <c r="H14" s="4">
        <f ca="1">RANDBETWEEN(1111111111,9999999999)</f>
        <v>9511714632</v>
      </c>
    </row>
    <row r="15" spans="1:21" x14ac:dyDescent="0.25">
      <c r="A15" t="s">
        <v>45</v>
      </c>
      <c r="B15" t="str" cm="1">
        <f t="array" ref="B15">GetRandomFirstName()</f>
        <v>Stacy</v>
      </c>
      <c r="C15" s="4" t="str" cm="1">
        <f t="array" ref="C15">GetRandomLastName()</f>
        <v>Walden</v>
      </c>
      <c r="D15" s="6" t="s">
        <v>22</v>
      </c>
      <c r="E15" s="4" t="str" cm="1">
        <f t="array" ref="E15">genAccntType()</f>
        <v>BOTH</v>
      </c>
      <c r="F15" s="4" t="str" cm="1">
        <f t="array" ref="F15">GetRandomDateOfBirth()</f>
        <v>05301940</v>
      </c>
      <c r="G15" s="8" t="s">
        <v>57</v>
      </c>
      <c r="H15" s="4">
        <f ca="1">RANDBETWEEN(1111111111,9999999999)</f>
        <v>3344670875</v>
      </c>
    </row>
    <row r="16" spans="1:21" x14ac:dyDescent="0.25">
      <c r="A16" t="s">
        <v>31</v>
      </c>
      <c r="B16" t="str" cm="1">
        <f t="array" ref="B16">GetRandomFirstName()</f>
        <v>Rochelle</v>
      </c>
      <c r="C16" s="4" t="str" cm="1">
        <f t="array" ref="C16">GetRandomLastName()</f>
        <v>Parker</v>
      </c>
      <c r="D16" s="6" t="s">
        <v>22</v>
      </c>
      <c r="E16" s="4" t="str" cm="1">
        <f t="array" ref="E16">genAccntType()</f>
        <v>BOTH</v>
      </c>
      <c r="F16" s="4" t="str" cm="1">
        <f t="array" ref="F16">GetRandomDateOfBirth()</f>
        <v>01081967</v>
      </c>
      <c r="G16" s="4">
        <f ca="1">RANDBETWEEN(1, 4)</f>
        <v>4</v>
      </c>
      <c r="H16" s="8">
        <v>123</v>
      </c>
    </row>
    <row r="17" spans="1:16" x14ac:dyDescent="0.25">
      <c r="A17" t="s">
        <v>46</v>
      </c>
      <c r="B17" t="str" cm="1">
        <f t="array" ref="B17">GetRandomFirstName()</f>
        <v>Stacy</v>
      </c>
      <c r="C17" s="4" t="str" cm="1">
        <f t="array" ref="C17">GetRandomLastName()</f>
        <v>Kraus</v>
      </c>
      <c r="D17" s="6" t="s">
        <v>22</v>
      </c>
      <c r="E17" s="4" t="str" cm="1">
        <f t="array" ref="E17">genAccntType()</f>
        <v>SPENDING</v>
      </c>
      <c r="F17" s="4" t="str" cm="1">
        <f t="array" ref="F17">GetRandomDateOfBirth()</f>
        <v>06071909</v>
      </c>
      <c r="G17" s="4">
        <f t="shared" ref="G17:G31" ca="1" si="1">RANDBETWEEN(1, 4)</f>
        <v>1</v>
      </c>
      <c r="H17" s="8">
        <v>124</v>
      </c>
    </row>
    <row r="18" spans="1:16" x14ac:dyDescent="0.25">
      <c r="A18" t="s">
        <v>32</v>
      </c>
      <c r="B18" t="str" cm="1">
        <f t="array" ref="B18">GetRandomFirstName()</f>
        <v>Uther</v>
      </c>
      <c r="C18" s="4" t="str" cm="1">
        <f t="array" ref="C18">GetRandomLastName()</f>
        <v>Veers</v>
      </c>
      <c r="D18" s="6" t="s">
        <v>22</v>
      </c>
      <c r="E18" s="4" t="str" cm="1">
        <f t="array" ref="E18">genAccntType()</f>
        <v>BOTH</v>
      </c>
      <c r="F18" s="4" t="str" cm="1">
        <f t="array" ref="F18">GetRandomDateOfBirth()</f>
        <v>01091937</v>
      </c>
      <c r="G18" s="4">
        <f t="shared" ca="1" si="1"/>
        <v>4</v>
      </c>
      <c r="H18" s="4">
        <f ca="1">RANDBETWEEN(1111111111,9999999999)</f>
        <v>9540056778</v>
      </c>
      <c r="I18" s="8">
        <v>123</v>
      </c>
      <c r="J18" s="4">
        <f ca="1">RANDBETWEEN(1000000,99999999)</f>
        <v>49698349</v>
      </c>
    </row>
    <row r="19" spans="1:16" x14ac:dyDescent="0.25">
      <c r="A19" t="s">
        <v>49</v>
      </c>
      <c r="B19" t="str" cm="1">
        <f t="array" ref="B19">GetRandomFirstName()</f>
        <v>Edgar</v>
      </c>
      <c r="C19" s="4" t="str" cm="1">
        <f t="array" ref="C19">GetRandomLastName()</f>
        <v>Walden</v>
      </c>
      <c r="D19" s="6" t="s">
        <v>22</v>
      </c>
      <c r="E19" s="4" t="str" cm="1">
        <f t="array" ref="E19">genAccntType()</f>
        <v>STASHING</v>
      </c>
      <c r="F19" s="4" t="str" cm="1">
        <f t="array" ref="F19">GetRandomDateOfBirth()</f>
        <v>04051998</v>
      </c>
      <c r="G19" s="4">
        <f t="shared" ca="1" si="1"/>
        <v>3</v>
      </c>
      <c r="H19" s="4">
        <f ca="1">RANDBETWEEN(1111111111,9999999999)</f>
        <v>2588001286</v>
      </c>
      <c r="I19" s="8">
        <v>123</v>
      </c>
      <c r="J19" s="4">
        <f ca="1">RANDBETWEEN(1000000,99999999)</f>
        <v>98764567</v>
      </c>
    </row>
    <row r="20" spans="1:16" x14ac:dyDescent="0.25">
      <c r="A20" t="s">
        <v>33</v>
      </c>
      <c r="B20" t="str" cm="1">
        <f t="array" ref="B20">GetRandomFirstName()</f>
        <v>Fulton</v>
      </c>
      <c r="C20" s="4" t="str" cm="1">
        <f t="array" ref="C20">GetRandomLastName()</f>
        <v>Xerxes</v>
      </c>
      <c r="D20" s="6" t="s">
        <v>22</v>
      </c>
      <c r="E20" s="4" t="str" cm="1">
        <f t="array" ref="E20">genAccntType()</f>
        <v>SPENDING</v>
      </c>
      <c r="F20" s="4" t="str" cm="1">
        <f t="array" ref="F20">GetRandomDateOfBirth()</f>
        <v>03081994</v>
      </c>
      <c r="G20" s="4">
        <f t="shared" ca="1" si="1"/>
        <v>1</v>
      </c>
      <c r="H20" s="4">
        <f ca="1">RANDBETWEEN(1111111111,9999999999)</f>
        <v>6810632589</v>
      </c>
      <c r="I20" s="4">
        <f ca="1">RANDBETWEEN(111111111,999999999)</f>
        <v>364393503</v>
      </c>
      <c r="J20" s="9" t="s">
        <v>58</v>
      </c>
    </row>
    <row r="21" spans="1:16" x14ac:dyDescent="0.25">
      <c r="A21" t="s">
        <v>47</v>
      </c>
      <c r="B21" t="str" cm="1">
        <f t="array" ref="B21">GetRandomFirstName()</f>
        <v>Gary</v>
      </c>
      <c r="C21" s="4" t="str" cm="1">
        <f t="array" ref="C21">GetRandomLastName()</f>
        <v>Flowers</v>
      </c>
      <c r="D21" s="6" t="s">
        <v>22</v>
      </c>
      <c r="E21" s="4" t="str" cm="1">
        <f t="array" ref="E21">genAccntType()</f>
        <v>STASHING</v>
      </c>
      <c r="F21" s="4" t="str" cm="1">
        <f t="array" ref="F21">GetRandomDateOfBirth()</f>
        <v>05281908</v>
      </c>
      <c r="G21" s="4">
        <f t="shared" ca="1" si="1"/>
        <v>3</v>
      </c>
      <c r="H21" s="4">
        <f ca="1">RANDBETWEEN(1111111111,9999999999)</f>
        <v>2093248201</v>
      </c>
      <c r="I21" s="4">
        <f ca="1">RANDBETWEEN(111111111,999999999)</f>
        <v>361429202</v>
      </c>
      <c r="J21" s="9" t="s">
        <v>58</v>
      </c>
    </row>
    <row r="22" spans="1:16" x14ac:dyDescent="0.25">
      <c r="A22" t="s">
        <v>34</v>
      </c>
      <c r="B22" t="str" cm="1">
        <f t="array" ref="B22">GetRandomFirstName()</f>
        <v>Edgar</v>
      </c>
      <c r="C22" s="4" t="str" cm="1">
        <f t="array" ref="C22">GetRandomLastName()</f>
        <v>Singer</v>
      </c>
      <c r="D22" s="6" t="s">
        <v>22</v>
      </c>
      <c r="E22" s="4" t="str" cm="1">
        <f t="array" ref="E22">genAccntType()</f>
        <v>SPENDING</v>
      </c>
      <c r="F22" s="4" t="str" cm="1">
        <f t="array" ref="F22">GetRandomDateOfBirth()</f>
        <v>07301999</v>
      </c>
      <c r="G22" s="4">
        <f t="shared" ca="1" si="1"/>
        <v>3</v>
      </c>
      <c r="H22" s="4">
        <f ca="1">RANDBETWEEN(1111111111,9999999999)</f>
        <v>6668879102</v>
      </c>
      <c r="I22" s="4">
        <f ca="1">RANDBETWEEN(111111111,999999999)</f>
        <v>351843766</v>
      </c>
      <c r="J22" s="4">
        <f ca="1">RANDBETWEEN(1000000,99999999)</f>
        <v>61775400</v>
      </c>
      <c r="K22" s="9" t="s">
        <v>57</v>
      </c>
      <c r="L22" s="1" t="s">
        <v>19</v>
      </c>
    </row>
    <row r="23" spans="1:16" x14ac:dyDescent="0.25">
      <c r="A23" t="s">
        <v>48</v>
      </c>
      <c r="B23" t="str" cm="1">
        <f t="array" ref="B23">GetRandomFirstName()</f>
        <v>Walter</v>
      </c>
      <c r="C23" s="4" t="str" cm="1">
        <f t="array" ref="C23">GetRandomLastName()</f>
        <v>Zachary</v>
      </c>
      <c r="D23" s="6" t="s">
        <v>22</v>
      </c>
      <c r="E23" s="4" t="str" cm="1">
        <f t="array" ref="E23">genAccntType()</f>
        <v>SPENDING</v>
      </c>
      <c r="F23" s="4" t="str" cm="1">
        <f t="array" ref="F23">GetRandomDateOfBirth()</f>
        <v>02251986</v>
      </c>
      <c r="G23" s="4">
        <f t="shared" ca="1" si="1"/>
        <v>4</v>
      </c>
      <c r="H23" s="4">
        <f t="shared" ref="H23:H31" ca="1" si="2">RANDBETWEEN(1111111111,9999999999)</f>
        <v>9006439655</v>
      </c>
      <c r="I23" s="4">
        <f t="shared" ref="I23:I31" ca="1" si="3">RANDBETWEEN(111111111,999999999)</f>
        <v>259855504</v>
      </c>
      <c r="J23" s="4">
        <f t="shared" ref="J23:J31" ca="1" si="4">RANDBETWEEN(1000000,99999999)</f>
        <v>73619490</v>
      </c>
      <c r="K23" s="9" t="s">
        <v>57</v>
      </c>
      <c r="L23" s="1" t="s">
        <v>19</v>
      </c>
    </row>
    <row r="24" spans="1:16" x14ac:dyDescent="0.25">
      <c r="A24" t="s">
        <v>35</v>
      </c>
      <c r="B24" t="str" cm="1">
        <f t="array" ref="B24">GetRandomFirstName()</f>
        <v>Lucy</v>
      </c>
      <c r="C24" s="4" t="str" cm="1">
        <f t="array" ref="C24">GetRandomLastName()</f>
        <v>Singer</v>
      </c>
      <c r="D24" s="6" t="s">
        <v>22</v>
      </c>
      <c r="E24" s="4" t="str" cm="1">
        <f t="array" ref="E24">genAccntType()</f>
        <v>BOTH</v>
      </c>
      <c r="F24" s="4" t="str" cm="1">
        <f t="array" ref="F24">GetRandomDateOfBirth()</f>
        <v>09131975</v>
      </c>
      <c r="G24" s="4">
        <f t="shared" ca="1" si="1"/>
        <v>2</v>
      </c>
      <c r="H24" s="4">
        <f t="shared" ca="1" si="2"/>
        <v>2725624456</v>
      </c>
      <c r="I24" s="4">
        <f t="shared" ca="1" si="3"/>
        <v>616018247</v>
      </c>
      <c r="J24" s="4">
        <f t="shared" ca="1" si="4"/>
        <v>82678296</v>
      </c>
      <c r="K24" s="1" t="s">
        <v>18</v>
      </c>
      <c r="L24" s="1" t="s">
        <v>19</v>
      </c>
      <c r="M24" s="8" t="s">
        <v>54</v>
      </c>
      <c r="N24" s="4" t="str" cm="1">
        <f t="array" ref="N24">genCity("pos")</f>
        <v>Ssqnlriydgwrvpudc</v>
      </c>
      <c r="O24" s="4">
        <f ca="1">RANDBETWEEN(1, 50)</f>
        <v>27</v>
      </c>
      <c r="P24" s="4" t="str" cm="1">
        <f t="array" ref="P24">GetRandomValidZip()</f>
        <v>11020</v>
      </c>
    </row>
    <row r="25" spans="1:16" x14ac:dyDescent="0.25">
      <c r="A25" t="s">
        <v>50</v>
      </c>
      <c r="B25" t="str" cm="1">
        <f t="array" ref="B25">GetRandomFirstName()</f>
        <v>Vanessa</v>
      </c>
      <c r="C25" s="4" t="str" cm="1">
        <f t="array" ref="C25">GetRandomLastName()</f>
        <v>Xerxes</v>
      </c>
      <c r="D25" s="6" t="s">
        <v>22</v>
      </c>
      <c r="E25" s="4" t="str" cm="1">
        <f t="array" ref="E25">genAccntType()</f>
        <v>STASHING</v>
      </c>
      <c r="F25" s="4" t="str" cm="1">
        <f t="array" ref="F25">GetRandomDateOfBirth()</f>
        <v>11121942</v>
      </c>
      <c r="G25" s="4">
        <f t="shared" ca="1" si="1"/>
        <v>1</v>
      </c>
      <c r="H25" s="4">
        <f t="shared" ca="1" si="2"/>
        <v>8664342540</v>
      </c>
      <c r="I25" s="4">
        <f t="shared" ca="1" si="3"/>
        <v>896935013</v>
      </c>
      <c r="J25" s="4">
        <f t="shared" ca="1" si="4"/>
        <v>99135457</v>
      </c>
      <c r="K25" s="1" t="s">
        <v>59</v>
      </c>
      <c r="L25" s="1" t="s">
        <v>19</v>
      </c>
      <c r="M25" s="8" t="s">
        <v>54</v>
      </c>
      <c r="N25" s="4" t="str" cm="1">
        <f t="array" ref="N25">genCity("pos")</f>
        <v>Sfcm</v>
      </c>
      <c r="O25" s="4">
        <f t="shared" ref="O25:O27" ca="1" si="5">RANDBETWEEN(1, 50)</f>
        <v>49</v>
      </c>
      <c r="P25" s="4" t="str" cm="1">
        <f t="array" ref="P25">GetRandomValidZip()</f>
        <v>58722</v>
      </c>
    </row>
    <row r="26" spans="1:16" x14ac:dyDescent="0.25">
      <c r="A26" t="s">
        <v>36</v>
      </c>
      <c r="B26" t="str" cm="1">
        <f t="array" ref="B26">GetRandomFirstName()</f>
        <v>Yorick</v>
      </c>
      <c r="C26" s="4" t="str" cm="1">
        <f t="array" ref="C26">GetRandomLastName()</f>
        <v>Quincy</v>
      </c>
      <c r="D26" s="6" t="s">
        <v>22</v>
      </c>
      <c r="E26" s="4" t="str" cm="1">
        <f t="array" ref="E26">genAccntType()</f>
        <v>SPENDING</v>
      </c>
      <c r="F26" s="4" t="str" cm="1">
        <f t="array" ref="F26">GetRandomDateOfBirth()</f>
        <v>04051921</v>
      </c>
      <c r="G26" s="4">
        <f t="shared" ca="1" si="1"/>
        <v>4</v>
      </c>
      <c r="H26" s="4">
        <f t="shared" ca="1" si="2"/>
        <v>8585753550</v>
      </c>
      <c r="I26" s="4">
        <f t="shared" ca="1" si="3"/>
        <v>259533352</v>
      </c>
      <c r="J26" s="4">
        <f ca="1">RANDBETWEEN(1000000,99999999)</f>
        <v>62017091</v>
      </c>
      <c r="K26" s="1" t="s">
        <v>60</v>
      </c>
      <c r="L26" s="1" t="s">
        <v>19</v>
      </c>
      <c r="M26" s="4" t="str" cm="1">
        <f t="array" ref="M26">GetRandomAddress()</f>
        <v>675 7th Rd</v>
      </c>
      <c r="N26" s="8" t="s">
        <v>54</v>
      </c>
      <c r="O26" s="4">
        <f t="shared" ca="1" si="5"/>
        <v>28</v>
      </c>
      <c r="P26" s="4" t="str" cm="1">
        <f t="array" ref="P26">GetRandomValidZip()</f>
        <v>92381</v>
      </c>
    </row>
    <row r="27" spans="1:16" x14ac:dyDescent="0.25">
      <c r="A27" t="s">
        <v>51</v>
      </c>
      <c r="B27" t="str" cm="1">
        <f t="array" ref="B27">GetRandomFirstName()</f>
        <v>Noelle</v>
      </c>
      <c r="C27" s="4" t="str" cm="1">
        <f t="array" ref="C27">GetRandomLastName()</f>
        <v>Howards</v>
      </c>
      <c r="D27" s="6" t="s">
        <v>22</v>
      </c>
      <c r="E27" s="4" t="str" cm="1">
        <f t="array" ref="E27">genAccntType()</f>
        <v>STASHING</v>
      </c>
      <c r="F27" s="4" t="str" cm="1">
        <f t="array" ref="F27">GetRandomDateOfBirth()</f>
        <v>10111987</v>
      </c>
      <c r="G27" s="4">
        <f t="shared" ca="1" si="1"/>
        <v>4</v>
      </c>
      <c r="H27" s="4">
        <f t="shared" ca="1" si="2"/>
        <v>3620994737</v>
      </c>
      <c r="I27" s="4">
        <f t="shared" ca="1" si="3"/>
        <v>943190721</v>
      </c>
      <c r="J27" s="4">
        <f t="shared" ca="1" si="4"/>
        <v>20043954</v>
      </c>
      <c r="K27" s="1" t="s">
        <v>61</v>
      </c>
      <c r="L27" s="1" t="s">
        <v>19</v>
      </c>
      <c r="M27" s="4" t="str" cm="1">
        <f t="array" ref="M27">GetRandomAddress()</f>
        <v>172 Spring Rd</v>
      </c>
      <c r="N27" s="8" t="s">
        <v>54</v>
      </c>
      <c r="O27" s="4">
        <f t="shared" ca="1" si="5"/>
        <v>26</v>
      </c>
      <c r="P27" s="4" t="str" cm="1">
        <f t="array" ref="P27">GetRandomValidZip()</f>
        <v>38065</v>
      </c>
    </row>
    <row r="28" spans="1:16" x14ac:dyDescent="0.25">
      <c r="A28" t="s">
        <v>37</v>
      </c>
      <c r="B28" t="str" cm="1">
        <f t="array" ref="B28">GetRandomFirstName()</f>
        <v>Vanessa</v>
      </c>
      <c r="C28" s="4" t="str" cm="1">
        <f t="array" ref="C28">GetRandomLastName()</f>
        <v>Christopher</v>
      </c>
      <c r="D28" s="6" t="s">
        <v>22</v>
      </c>
      <c r="E28" s="4" t="str" cm="1">
        <f t="array" ref="E28">genAccntType()</f>
        <v>BOTH</v>
      </c>
      <c r="F28" s="4" t="str" cm="1">
        <f t="array" ref="F28">GetRandomDateOfBirth()</f>
        <v>06011907</v>
      </c>
      <c r="G28" s="4">
        <f t="shared" ca="1" si="1"/>
        <v>4</v>
      </c>
      <c r="H28" s="4">
        <f t="shared" ca="1" si="2"/>
        <v>6317759165</v>
      </c>
      <c r="I28" s="4">
        <f t="shared" ca="1" si="3"/>
        <v>210424607</v>
      </c>
      <c r="J28" s="4">
        <f t="shared" ca="1" si="4"/>
        <v>40525292</v>
      </c>
      <c r="K28" s="1" t="s">
        <v>62</v>
      </c>
      <c r="L28" s="1" t="s">
        <v>19</v>
      </c>
      <c r="M28" s="4" t="str" cm="1">
        <f t="array" ref="M28">GetRandomAddress()</f>
        <v>887 Ridge Ave</v>
      </c>
      <c r="N28" t="str" cm="1">
        <f t="array" ref="N28">genCity("pos")</f>
        <v>Ftvjvqgfyn</v>
      </c>
      <c r="O28" s="8" t="s">
        <v>57</v>
      </c>
      <c r="P28" s="4" t="str" cm="1">
        <f t="array" ref="P28">GetRandomValidZip()</f>
        <v>52635</v>
      </c>
    </row>
    <row r="29" spans="1:16" x14ac:dyDescent="0.25">
      <c r="A29" t="s">
        <v>52</v>
      </c>
      <c r="B29" t="str" cm="1">
        <f t="array" ref="B29">GetRandomFirstName()</f>
        <v>Uther</v>
      </c>
      <c r="C29" s="4" t="str" cm="1">
        <f t="array" ref="C29">GetRandomLastName()</f>
        <v>James</v>
      </c>
      <c r="D29" s="6" t="s">
        <v>22</v>
      </c>
      <c r="E29" s="4" t="str" cm="1">
        <f t="array" ref="E29">genAccntType()</f>
        <v>BOTH</v>
      </c>
      <c r="F29" s="4" t="str" cm="1">
        <f t="array" ref="F29">GetRandomDateOfBirth()</f>
        <v>05181934</v>
      </c>
      <c r="G29" s="4">
        <f t="shared" ca="1" si="1"/>
        <v>2</v>
      </c>
      <c r="H29" s="4">
        <f t="shared" ca="1" si="2"/>
        <v>4361873668</v>
      </c>
      <c r="I29" s="4">
        <f t="shared" ca="1" si="3"/>
        <v>666103705</v>
      </c>
      <c r="J29" s="4">
        <f t="shared" ca="1" si="4"/>
        <v>75223604</v>
      </c>
      <c r="K29" s="1" t="s">
        <v>63</v>
      </c>
      <c r="L29" s="1" t="s">
        <v>19</v>
      </c>
      <c r="M29" s="4" t="str" cm="1">
        <f t="array" ref="M29">GetRandomAddress()</f>
        <v>725 Oak St</v>
      </c>
      <c r="N29" s="4" t="str" cm="1">
        <f t="array" ref="N29">genCity("pos")</f>
        <v>Sjxpkqeomthjcfhinf</v>
      </c>
      <c r="O29" s="8" t="s">
        <v>57</v>
      </c>
      <c r="P29" s="4" t="str" cm="1">
        <f t="array" ref="P29">GetRandomValidZip()</f>
        <v>68119</v>
      </c>
    </row>
    <row r="30" spans="1:16" x14ac:dyDescent="0.25">
      <c r="A30" t="s">
        <v>38</v>
      </c>
      <c r="B30" t="str" cm="1">
        <f t="array" ref="B30">GetRandomFirstName()</f>
        <v>Zane</v>
      </c>
      <c r="C30" s="4" t="str" cm="1">
        <f t="array" ref="C30">GetRandomLastName()</f>
        <v>Grissom</v>
      </c>
      <c r="D30" s="6" t="s">
        <v>22</v>
      </c>
      <c r="E30" s="4" t="str" cm="1">
        <f t="array" ref="E30">genAccntType()</f>
        <v>SPENDING</v>
      </c>
      <c r="F30" s="4" t="str" cm="1">
        <f t="array" ref="F30">GetRandomDateOfBirth()</f>
        <v>01281921</v>
      </c>
      <c r="G30" s="4">
        <f t="shared" ca="1" si="1"/>
        <v>2</v>
      </c>
      <c r="H30" s="4">
        <f t="shared" ca="1" si="2"/>
        <v>2751844642</v>
      </c>
      <c r="I30" s="4">
        <f t="shared" ca="1" si="3"/>
        <v>712405405</v>
      </c>
      <c r="J30" s="4">
        <f t="shared" ca="1" si="4"/>
        <v>23890146</v>
      </c>
      <c r="K30" s="1" t="s">
        <v>64</v>
      </c>
      <c r="L30" s="1" t="s">
        <v>19</v>
      </c>
      <c r="M30" s="4" t="str" cm="1">
        <f t="array" ref="M30">GetRandomAddress()</f>
        <v>430 5th Ave</v>
      </c>
      <c r="N30" s="4" t="str" cm="1">
        <f t="array" ref="N30">genCity("pos")</f>
        <v>Vxmrczvaajoqkwh</v>
      </c>
      <c r="O30" s="4">
        <f t="shared" ref="O30:O31" ca="1" si="6">RANDBETWEEN(1, 50)</f>
        <v>22</v>
      </c>
      <c r="P30" s="8" t="str" cm="1">
        <f t="array" ref="P30">GetRandomInvalidZip()</f>
        <v>9689</v>
      </c>
    </row>
    <row r="31" spans="1:16" x14ac:dyDescent="0.25">
      <c r="A31" t="s">
        <v>53</v>
      </c>
      <c r="B31" t="str" cm="1">
        <f t="array" ref="B31">GetRandomFirstName()</f>
        <v>Marcus</v>
      </c>
      <c r="C31" s="4" t="str" cm="1">
        <f t="array" ref="C31">GetRandomLastName()</f>
        <v>James</v>
      </c>
      <c r="D31" s="6" t="s">
        <v>22</v>
      </c>
      <c r="E31" s="4" t="str" cm="1">
        <f t="array" ref="E31">genAccntType()</f>
        <v>STASHING</v>
      </c>
      <c r="F31" s="4" t="str" cm="1">
        <f t="array" ref="F31">GetRandomDateOfBirth()</f>
        <v>05181990</v>
      </c>
      <c r="G31" s="4">
        <f t="shared" ca="1" si="1"/>
        <v>4</v>
      </c>
      <c r="H31" s="4">
        <f t="shared" ca="1" si="2"/>
        <v>6769472523</v>
      </c>
      <c r="I31" s="4">
        <f t="shared" ca="1" si="3"/>
        <v>871829821</v>
      </c>
      <c r="J31" s="4">
        <f t="shared" ca="1" si="4"/>
        <v>27660974</v>
      </c>
      <c r="K31" s="1" t="s">
        <v>65</v>
      </c>
      <c r="L31" s="1" t="s">
        <v>19</v>
      </c>
      <c r="M31" s="4" t="str" cm="1">
        <f t="array" ref="M31">GetRandomAddress()</f>
        <v>889 South St</v>
      </c>
      <c r="N31" s="4" t="str" cm="1">
        <f t="array" ref="N31">genCity("pos")</f>
        <v>Nbefrk</v>
      </c>
      <c r="O31" s="4">
        <f t="shared" ca="1" si="6"/>
        <v>4</v>
      </c>
      <c r="P31" s="8" t="str" cm="1">
        <f t="array" ref="P31">GetRandomInvalidZip()</f>
        <v>2389</v>
      </c>
    </row>
    <row r="32" spans="1:16" x14ac:dyDescent="0.25">
      <c r="B32"/>
      <c r="C32" s="7"/>
    </row>
    <row r="33" spans="2:4" x14ac:dyDescent="0.25">
      <c r="B33" s="7"/>
      <c r="D33" s="7"/>
    </row>
  </sheetData>
  <phoneticPr fontId="2" type="noConversion"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RegisterBank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</dc:creator>
  <cp:lastModifiedBy>Tom</cp:lastModifiedBy>
  <dcterms:created xsi:type="dcterms:W3CDTF">2015-06-05T18:17:20Z</dcterms:created>
  <dcterms:modified xsi:type="dcterms:W3CDTF">2022-10-04T15:23:08Z</dcterms:modified>
</cp:coreProperties>
</file>